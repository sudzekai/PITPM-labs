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<sst xmlns="http://schemas.openxmlformats.org/spreadsheetml/2006/main" count="81" uniqueCount="30">
  <si>
    <t>метрики по Джеффу Сауро</t>
  </si>
  <si>
    <t>Швец</t>
  </si>
  <si>
    <t>Задача</t>
  </si>
  <si>
    <t>Оценка (0/10)</t>
  </si>
  <si>
    <t>Проблемы</t>
  </si>
  <si>
    <t>Время на задачу</t>
  </si>
  <si>
    <t>Сложность задачи (1/10)</t>
  </si>
  <si>
    <t>Ожидаемая сложность (1/10)</t>
  </si>
  <si>
    <t>Простота использования (1/10)</t>
  </si>
  <si>
    <t>Кол-во ошибок</t>
  </si>
  <si>
    <t>Кол-во кликов</t>
  </si>
  <si>
    <t>SUM</t>
  </si>
  <si>
    <t>NPS</t>
  </si>
  <si>
    <t>Регистрация</t>
  </si>
  <si>
    <t>Автономный вход</t>
  </si>
  <si>
    <t>Вход</t>
  </si>
  <si>
    <t>Загрузка файла</t>
  </si>
  <si>
    <t>Загрузка каталога</t>
  </si>
  <si>
    <t>Удаление файла</t>
  </si>
  <si>
    <t>Создание папки</t>
  </si>
  <si>
    <t>Изменение пути хранилища</t>
  </si>
  <si>
    <t>Доступ к панели администратора</t>
  </si>
  <si>
    <t>Добавление пользователя</t>
  </si>
  <si>
    <t>Загрузка файла из хранилища</t>
  </si>
  <si>
    <t>Выход из приложения</t>
  </si>
  <si>
    <t>СРЗНАЧ</t>
  </si>
  <si>
    <t>МИН</t>
  </si>
  <si>
    <t>МАКС</t>
  </si>
  <si>
    <t>Нецветаев</t>
  </si>
  <si>
    <t>Средние общие значения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</si>
</sst>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0_ "/>
  </numFmts>
  <fonts count="25">
    <font>
      <sz val="11"/>
      <color theme="1"/>
      <name val="Calibri"/>
      <charset val="134"/>
      <scheme val="minor"/>
    </font>
    <font>
      <b/>
      <sz val="16"/>
      <name val="Times New Roman"/>
      <charset val="0"/>
    </font>
    <font>
      <b/>
      <sz val="15"/>
      <color theme="1"/>
      <name val="Times New Roman"/>
      <charset val="134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3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0" applyNumberFormat="0" applyFill="0" applyAlignment="0" applyProtection="0">
      <alignment vertical="center"/>
    </xf>
    <xf numFmtId="0" fontId="12" fillId="0" borderId="40" applyNumberFormat="0" applyFill="0" applyAlignment="0" applyProtection="0">
      <alignment vertical="center"/>
    </xf>
    <xf numFmtId="0" fontId="13" fillId="0" borderId="4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2" applyNumberFormat="0" applyAlignment="0" applyProtection="0">
      <alignment vertical="center"/>
    </xf>
    <xf numFmtId="0" fontId="15" fillId="8" borderId="43" applyNumberFormat="0" applyAlignment="0" applyProtection="0">
      <alignment vertical="center"/>
    </xf>
    <xf numFmtId="0" fontId="16" fillId="8" borderId="42" applyNumberFormat="0" applyAlignment="0" applyProtection="0">
      <alignment vertical="center"/>
    </xf>
    <xf numFmtId="0" fontId="17" fillId="9" borderId="44" applyNumberFormat="0" applyAlignment="0" applyProtection="0">
      <alignment vertical="center"/>
    </xf>
    <xf numFmtId="0" fontId="18" fillId="0" borderId="45" applyNumberFormat="0" applyFill="0" applyAlignment="0" applyProtection="0">
      <alignment vertical="center"/>
    </xf>
    <xf numFmtId="0" fontId="19" fillId="0" borderId="46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6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9" fontId="3" fillId="2" borderId="3" xfId="0" applyNumberFormat="1" applyFont="1" applyFill="1" applyBorder="1" applyAlignment="1">
      <alignment horizontal="center" vertical="center"/>
    </xf>
    <xf numFmtId="20" fontId="3" fillId="2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9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180" fontId="4" fillId="0" borderId="14" xfId="0" applyNumberFormat="1" applyFont="1" applyBorder="1" applyAlignment="1">
      <alignment horizontal="center" vertical="center"/>
    </xf>
    <xf numFmtId="180" fontId="4" fillId="0" borderId="15" xfId="0" applyNumberFormat="1" applyFont="1" applyBorder="1" applyAlignment="1">
      <alignment horizontal="center" vertical="center"/>
    </xf>
    <xf numFmtId="0" fontId="4" fillId="2" borderId="16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0" borderId="6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2" borderId="9" xfId="0" applyNumberFormat="1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9" fontId="3" fillId="2" borderId="24" xfId="0" applyNumberFormat="1" applyFont="1" applyFill="1" applyBorder="1" applyAlignment="1">
      <alignment horizontal="center" vertical="center"/>
    </xf>
    <xf numFmtId="20" fontId="3" fillId="2" borderId="24" xfId="0" applyNumberFormat="1" applyFont="1" applyFill="1" applyBorder="1" applyAlignment="1">
      <alignment horizontal="center" vertical="center"/>
    </xf>
    <xf numFmtId="0" fontId="5" fillId="0" borderId="0" xfId="6" applyFont="1" applyAlignment="1">
      <alignment vertical="center"/>
    </xf>
    <xf numFmtId="0" fontId="3" fillId="2" borderId="2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0" fontId="3" fillId="3" borderId="27" xfId="0" applyNumberFormat="1" applyFont="1" applyFill="1" applyBorder="1" applyAlignment="1">
      <alignment horizontal="center" vertical="center" wrapText="1"/>
    </xf>
    <xf numFmtId="10" fontId="3" fillId="4" borderId="28" xfId="0" applyNumberFormat="1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10" fontId="3" fillId="5" borderId="30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10" fontId="3" fillId="3" borderId="30" xfId="0" applyNumberFormat="1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/>
    </xf>
    <xf numFmtId="10" fontId="3" fillId="5" borderId="32" xfId="0" applyNumberFormat="1" applyFont="1" applyFill="1" applyBorder="1" applyAlignment="1">
      <alignment horizontal="center" vertical="center" wrapText="1"/>
    </xf>
    <xf numFmtId="180" fontId="4" fillId="0" borderId="33" xfId="0" applyNumberFormat="1" applyFont="1" applyBorder="1" applyAlignment="1">
      <alignment horizontal="center" vertical="center"/>
    </xf>
    <xf numFmtId="10" fontId="3" fillId="3" borderId="13" xfId="0" applyNumberFormat="1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10" fontId="3" fillId="5" borderId="16" xfId="0" applyNumberFormat="1" applyFont="1" applyFill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10" fontId="3" fillId="3" borderId="17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0" fontId="3" fillId="3" borderId="13" xfId="0" applyNumberFormat="1" applyFont="1" applyFill="1" applyBorder="1" applyAlignment="1">
      <alignment horizontal="center" vertical="center" wrapText="1"/>
    </xf>
    <xf numFmtId="10" fontId="3" fillId="5" borderId="16" xfId="0" applyNumberFormat="1" applyFont="1" applyFill="1" applyBorder="1" applyAlignment="1">
      <alignment horizontal="center" vertical="center" wrapText="1"/>
    </xf>
    <xf numFmtId="10" fontId="3" fillId="3" borderId="16" xfId="0" applyNumberFormat="1" applyFont="1" applyFill="1" applyBorder="1" applyAlignment="1">
      <alignment horizontal="center" vertical="center" wrapText="1"/>
    </xf>
    <xf numFmtId="10" fontId="3" fillId="5" borderId="21" xfId="0" applyNumberFormat="1" applyFont="1" applyFill="1" applyBorder="1" applyAlignment="1">
      <alignment horizontal="center" vertical="center" wrapText="1"/>
    </xf>
    <xf numFmtId="10" fontId="3" fillId="3" borderId="17" xfId="0" applyNumberFormat="1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/>
    </xf>
    <xf numFmtId="0" fontId="3" fillId="5" borderId="37" xfId="0" applyFont="1" applyFill="1" applyBorder="1" applyAlignment="1">
      <alignment horizontal="center" vertical="center"/>
    </xf>
    <xf numFmtId="10" fontId="3" fillId="3" borderId="38" xfId="0" applyNumberFormat="1" applyFont="1" applyFill="1" applyBorder="1" applyAlignment="1">
      <alignment horizontal="center" vertical="center" wrapText="1"/>
    </xf>
    <xf numFmtId="10" fontId="3" fillId="4" borderId="28" xfId="0" applyNumberFormat="1" applyFont="1" applyFill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21">
    <dxf>
      <font>
        <color rgb="FF9C0006"/>
      </font>
    </dxf>
    <dxf>
      <font>
        <b val="1"/>
        <i val="0"/>
        <strike val="0"/>
        <color rgb="FFFF0000"/>
      </font>
    </dxf>
    <dxf>
      <font>
        <b val="1"/>
        <i val="0"/>
        <color rgb="FFFF0000"/>
      </font>
    </dxf>
    <dxf>
      <font>
        <b val="1"/>
        <i val="0"/>
        <color rgb="FF00B05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8"/>
  <sheetViews>
    <sheetView tabSelected="1" zoomScale="70" zoomScaleNormal="70" topLeftCell="A7" workbookViewId="0">
      <selection activeCell="M52" sqref="M52"/>
    </sheetView>
  </sheetViews>
  <sheetFormatPr defaultColWidth="9.14285714285714" defaultRowHeight="15"/>
  <cols>
    <col min="1" max="1" width="43.8571428571429" style="1" customWidth="1"/>
    <col min="2" max="2" width="19.4285714285714" style="1" customWidth="1"/>
    <col min="3" max="3" width="16" style="1" customWidth="1"/>
    <col min="4" max="4" width="23.2857142857143" style="1" customWidth="1"/>
    <col min="5" max="5" width="33.4285714285714" style="1" customWidth="1"/>
    <col min="6" max="6" width="40" style="1" customWidth="1"/>
    <col min="7" max="7" width="41.8571428571429" style="1" customWidth="1"/>
    <col min="8" max="8" width="20.8571428571429" style="1" customWidth="1"/>
    <col min="9" max="9" width="19.8571428571429" style="1" customWidth="1"/>
    <col min="10" max="10" width="10.2857142857143" style="1" customWidth="1"/>
    <col min="11" max="11" width="13.5714285714286" style="1"/>
    <col min="12" max="16384" width="9.14285714285714" style="1"/>
  </cols>
  <sheetData>
    <row r="1" ht="2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50"/>
      <c r="K1" s="50"/>
    </row>
    <row r="2" ht="20.25" spans="1:1">
      <c r="A2" s="3" t="s">
        <v>1</v>
      </c>
    </row>
    <row r="3" ht="19.5" spans="1:11">
      <c r="A3" s="4" t="s">
        <v>2</v>
      </c>
      <c r="B3" s="5" t="s">
        <v>3</v>
      </c>
      <c r="C3" s="6" t="s">
        <v>4</v>
      </c>
      <c r="D3" s="6" t="s">
        <v>5</v>
      </c>
      <c r="E3" s="7" t="s">
        <v>6</v>
      </c>
      <c r="F3" s="6" t="s">
        <v>7</v>
      </c>
      <c r="G3" s="8" t="s">
        <v>8</v>
      </c>
      <c r="H3" s="6" t="s">
        <v>9</v>
      </c>
      <c r="I3" s="51" t="s">
        <v>10</v>
      </c>
      <c r="J3" s="52" t="s">
        <v>11</v>
      </c>
      <c r="K3" s="53" t="s">
        <v>12</v>
      </c>
    </row>
    <row r="4" ht="19.5" spans="1:11">
      <c r="A4" s="9" t="s">
        <v>13</v>
      </c>
      <c r="B4" s="10">
        <v>10</v>
      </c>
      <c r="C4" s="11">
        <v>0</v>
      </c>
      <c r="D4" s="11">
        <v>51</v>
      </c>
      <c r="E4" s="11">
        <v>1</v>
      </c>
      <c r="F4" s="12">
        <v>3</v>
      </c>
      <c r="G4" s="11">
        <v>10</v>
      </c>
      <c r="H4" s="11">
        <v>0</v>
      </c>
      <c r="I4" s="54">
        <v>8</v>
      </c>
      <c r="J4" s="55">
        <f>((B4/10)+(1-H4/4)+(1-((D4-$D$17)/($D$18-$D$17)))+(1-I4/$I$18)+(1-C4/$C$18))/5</f>
        <v>0.701149425287356</v>
      </c>
      <c r="K4" s="56">
        <v>0.9</v>
      </c>
    </row>
    <row r="5" ht="18.75" spans="1:11">
      <c r="A5" s="13" t="s">
        <v>14</v>
      </c>
      <c r="B5" s="14">
        <v>10</v>
      </c>
      <c r="C5" s="15">
        <v>0</v>
      </c>
      <c r="D5" s="15">
        <v>14</v>
      </c>
      <c r="E5" s="15">
        <v>1</v>
      </c>
      <c r="F5" s="15">
        <v>3</v>
      </c>
      <c r="G5" s="15">
        <v>10</v>
      </c>
      <c r="H5" s="15">
        <v>0</v>
      </c>
      <c r="I5" s="57">
        <v>4</v>
      </c>
      <c r="J5" s="58">
        <f t="shared" ref="J5:J15" si="0">((B5/10)+(1-H5/4)+(1-((D5-$D$17)/($D$18-$D$17)))+(1-I5/$I$18)+(1-C5/$C$18))/5</f>
        <v>0.895402298850575</v>
      </c>
      <c r="K5" s="59"/>
    </row>
    <row r="6" ht="18.75" spans="1:11">
      <c r="A6" s="16" t="s">
        <v>15</v>
      </c>
      <c r="B6" s="17">
        <v>0</v>
      </c>
      <c r="C6" s="18">
        <v>1</v>
      </c>
      <c r="D6" s="18">
        <v>15</v>
      </c>
      <c r="E6" s="18">
        <v>1</v>
      </c>
      <c r="F6" s="18">
        <v>1</v>
      </c>
      <c r="G6" s="18">
        <v>10</v>
      </c>
      <c r="H6" s="18">
        <v>1</v>
      </c>
      <c r="I6" s="60">
        <v>4</v>
      </c>
      <c r="J6" s="61">
        <f t="shared" si="0"/>
        <v>0.441954022988506</v>
      </c>
      <c r="K6" s="59"/>
    </row>
    <row r="7" ht="18.75" spans="1:11">
      <c r="A7" s="13" t="s">
        <v>16</v>
      </c>
      <c r="B7" s="14">
        <v>10</v>
      </c>
      <c r="C7" s="15">
        <v>0</v>
      </c>
      <c r="D7" s="15">
        <v>14</v>
      </c>
      <c r="E7" s="15">
        <v>1</v>
      </c>
      <c r="F7" s="15">
        <v>7</v>
      </c>
      <c r="G7" s="15">
        <v>10</v>
      </c>
      <c r="H7" s="15">
        <v>0</v>
      </c>
      <c r="I7" s="57">
        <v>4</v>
      </c>
      <c r="J7" s="58">
        <f t="shared" si="0"/>
        <v>0.895402298850575</v>
      </c>
      <c r="K7" s="59"/>
    </row>
    <row r="8" ht="18.75" spans="1:11">
      <c r="A8" s="16" t="s">
        <v>17</v>
      </c>
      <c r="B8" s="17">
        <v>7</v>
      </c>
      <c r="C8" s="18">
        <v>1</v>
      </c>
      <c r="D8" s="18">
        <v>61</v>
      </c>
      <c r="E8" s="18">
        <v>6</v>
      </c>
      <c r="F8" s="18">
        <v>2</v>
      </c>
      <c r="G8" s="18">
        <v>5</v>
      </c>
      <c r="H8" s="18">
        <v>4</v>
      </c>
      <c r="I8" s="60">
        <v>12</v>
      </c>
      <c r="J8" s="61">
        <f t="shared" si="0"/>
        <v>0.14</v>
      </c>
      <c r="K8" s="59"/>
    </row>
    <row r="9" ht="18.75" spans="1:11">
      <c r="A9" s="13" t="s">
        <v>18</v>
      </c>
      <c r="B9" s="14">
        <v>10</v>
      </c>
      <c r="C9" s="15">
        <v>0</v>
      </c>
      <c r="D9" s="15">
        <v>5</v>
      </c>
      <c r="E9" s="15">
        <v>1</v>
      </c>
      <c r="F9" s="15">
        <v>1</v>
      </c>
      <c r="G9" s="15">
        <v>10</v>
      </c>
      <c r="H9" s="15">
        <v>0</v>
      </c>
      <c r="I9" s="57">
        <v>2</v>
      </c>
      <c r="J9" s="58">
        <f t="shared" si="0"/>
        <v>0.959770114942529</v>
      </c>
      <c r="K9" s="59"/>
    </row>
    <row r="10" ht="18.75" spans="1:11">
      <c r="A10" s="16" t="s">
        <v>19</v>
      </c>
      <c r="B10" s="17">
        <v>10</v>
      </c>
      <c r="C10" s="18">
        <v>0</v>
      </c>
      <c r="D10" s="18">
        <v>10</v>
      </c>
      <c r="E10" s="18">
        <v>1</v>
      </c>
      <c r="F10" s="18">
        <v>1</v>
      </c>
      <c r="G10" s="18">
        <v>10</v>
      </c>
      <c r="H10" s="18">
        <v>0</v>
      </c>
      <c r="I10" s="60">
        <v>2</v>
      </c>
      <c r="J10" s="61">
        <f t="shared" si="0"/>
        <v>0.942528735632184</v>
      </c>
      <c r="K10" s="59"/>
    </row>
    <row r="11" ht="18.75" spans="1:11">
      <c r="A11" s="13" t="s">
        <v>20</v>
      </c>
      <c r="B11" s="14">
        <v>6</v>
      </c>
      <c r="C11" s="15">
        <v>1</v>
      </c>
      <c r="D11" s="15">
        <v>15</v>
      </c>
      <c r="E11" s="15">
        <v>1</v>
      </c>
      <c r="F11" s="15">
        <v>5</v>
      </c>
      <c r="G11" s="15">
        <v>8</v>
      </c>
      <c r="H11" s="15">
        <v>0</v>
      </c>
      <c r="I11" s="57">
        <v>6</v>
      </c>
      <c r="J11" s="58">
        <f t="shared" si="0"/>
        <v>0.578620689655172</v>
      </c>
      <c r="K11" s="59"/>
    </row>
    <row r="12" ht="18.75" spans="1:11">
      <c r="A12" s="16" t="s">
        <v>21</v>
      </c>
      <c r="B12" s="17">
        <v>10</v>
      </c>
      <c r="C12" s="18">
        <v>0</v>
      </c>
      <c r="D12" s="18">
        <v>10</v>
      </c>
      <c r="E12" s="18">
        <v>1</v>
      </c>
      <c r="F12" s="18">
        <v>4</v>
      </c>
      <c r="G12" s="18">
        <v>10</v>
      </c>
      <c r="H12" s="18">
        <v>0</v>
      </c>
      <c r="I12" s="60">
        <v>3</v>
      </c>
      <c r="J12" s="61">
        <f t="shared" si="0"/>
        <v>0.925862068965517</v>
      </c>
      <c r="K12" s="59"/>
    </row>
    <row r="13" ht="18.75" spans="1:11">
      <c r="A13" s="13" t="s">
        <v>22</v>
      </c>
      <c r="B13" s="14">
        <v>10</v>
      </c>
      <c r="C13" s="15">
        <v>0</v>
      </c>
      <c r="D13" s="15">
        <v>40</v>
      </c>
      <c r="E13" s="15">
        <v>1</v>
      </c>
      <c r="F13" s="19">
        <v>6</v>
      </c>
      <c r="G13" s="15">
        <v>10</v>
      </c>
      <c r="H13" s="15">
        <v>0</v>
      </c>
      <c r="I13" s="57">
        <v>8</v>
      </c>
      <c r="J13" s="58">
        <f t="shared" si="0"/>
        <v>0.739080459770115</v>
      </c>
      <c r="K13" s="59"/>
    </row>
    <row r="14" ht="18.75" spans="1:11">
      <c r="A14" s="16" t="s">
        <v>23</v>
      </c>
      <c r="B14" s="17">
        <v>6</v>
      </c>
      <c r="C14" s="18">
        <v>0</v>
      </c>
      <c r="D14" s="18">
        <v>10</v>
      </c>
      <c r="E14" s="18">
        <v>1</v>
      </c>
      <c r="F14" s="18">
        <v>10</v>
      </c>
      <c r="G14" s="18">
        <v>10</v>
      </c>
      <c r="H14" s="18">
        <v>2</v>
      </c>
      <c r="I14" s="60">
        <v>5</v>
      </c>
      <c r="J14" s="61">
        <f t="shared" si="0"/>
        <v>0.712528735632184</v>
      </c>
      <c r="K14" s="59"/>
    </row>
    <row r="15" ht="19.5" spans="1:11">
      <c r="A15" s="20" t="s">
        <v>24</v>
      </c>
      <c r="B15" s="21">
        <v>10</v>
      </c>
      <c r="C15" s="22">
        <v>0</v>
      </c>
      <c r="D15" s="22">
        <v>3</v>
      </c>
      <c r="E15" s="22">
        <v>1</v>
      </c>
      <c r="F15" s="22">
        <v>1</v>
      </c>
      <c r="G15" s="22">
        <v>10</v>
      </c>
      <c r="H15" s="22">
        <v>0</v>
      </c>
      <c r="I15" s="62">
        <v>2</v>
      </c>
      <c r="J15" s="63">
        <f t="shared" si="0"/>
        <v>0.966666666666667</v>
      </c>
      <c r="K15" s="59"/>
    </row>
    <row r="16" ht="18.75" spans="1:11">
      <c r="A16" s="23" t="s">
        <v>25</v>
      </c>
      <c r="B16" s="24">
        <f>AVERAGE(B4:B15)</f>
        <v>8.25</v>
      </c>
      <c r="C16" s="25">
        <f>AVERAGE(C4:C15)</f>
        <v>0.25</v>
      </c>
      <c r="D16" s="25">
        <f>AVERAGE(D4:D15)</f>
        <v>20.6666666666667</v>
      </c>
      <c r="E16" s="25">
        <f>AVERAGE(E4:E15)</f>
        <v>1.41666666666667</v>
      </c>
      <c r="F16" s="25">
        <f>AVERAGE(F4:F15)</f>
        <v>3.66666666666667</v>
      </c>
      <c r="G16" s="25">
        <f>AVERAGE(G4:G15)</f>
        <v>9.41666666666667</v>
      </c>
      <c r="H16" s="25">
        <f>AVERAGE(H4:H15)</f>
        <v>0.583333333333333</v>
      </c>
      <c r="I16" s="64">
        <f>AVERAGE(I4:I15)</f>
        <v>5</v>
      </c>
      <c r="J16" s="65">
        <f>AVERAGE(J4:J15)</f>
        <v>0.741580459770115</v>
      </c>
      <c r="K16" s="59"/>
    </row>
    <row r="17" ht="18.75" spans="1:11">
      <c r="A17" s="26" t="s">
        <v>26</v>
      </c>
      <c r="B17" s="27">
        <f>MIN(B4:B15)</f>
        <v>0</v>
      </c>
      <c r="C17" s="28">
        <f t="shared" ref="C17:J17" si="1">MIN(C4:C15)</f>
        <v>0</v>
      </c>
      <c r="D17" s="28">
        <f t="shared" si="1"/>
        <v>3</v>
      </c>
      <c r="E17" s="28">
        <f t="shared" si="1"/>
        <v>1</v>
      </c>
      <c r="F17" s="28">
        <f t="shared" si="1"/>
        <v>1</v>
      </c>
      <c r="G17" s="28">
        <f t="shared" si="1"/>
        <v>5</v>
      </c>
      <c r="H17" s="28">
        <f t="shared" si="1"/>
        <v>0</v>
      </c>
      <c r="I17" s="66">
        <f t="shared" si="1"/>
        <v>2</v>
      </c>
      <c r="J17" s="67">
        <f t="shared" si="1"/>
        <v>0.14</v>
      </c>
      <c r="K17" s="59"/>
    </row>
    <row r="18" ht="19.5" spans="1:11">
      <c r="A18" s="29" t="s">
        <v>27</v>
      </c>
      <c r="B18" s="30">
        <f>MAX(B5:B16)</f>
        <v>10</v>
      </c>
      <c r="C18" s="31">
        <f t="shared" ref="C18:J18" si="2">MAX(C5:C16)</f>
        <v>1</v>
      </c>
      <c r="D18" s="31">
        <f t="shared" si="2"/>
        <v>61</v>
      </c>
      <c r="E18" s="31">
        <f t="shared" si="2"/>
        <v>6</v>
      </c>
      <c r="F18" s="31">
        <f t="shared" si="2"/>
        <v>10</v>
      </c>
      <c r="G18" s="31">
        <f t="shared" si="2"/>
        <v>10</v>
      </c>
      <c r="H18" s="31">
        <f t="shared" si="2"/>
        <v>4</v>
      </c>
      <c r="I18" s="68">
        <f t="shared" si="2"/>
        <v>12</v>
      </c>
      <c r="J18" s="69">
        <f t="shared" si="2"/>
        <v>0.966666666666667</v>
      </c>
      <c r="K18" s="59"/>
    </row>
    <row r="19" ht="18.75" spans="1:11">
      <c r="A19" s="32"/>
      <c r="B19" s="33"/>
      <c r="C19" s="33"/>
      <c r="D19" s="33"/>
      <c r="E19" s="33"/>
      <c r="F19" s="33"/>
      <c r="G19" s="33"/>
      <c r="H19" s="33"/>
      <c r="I19" s="33"/>
      <c r="J19" s="33"/>
      <c r="K19" s="59"/>
    </row>
    <row r="20" ht="18.75" spans="1:24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59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</row>
    <row r="21" ht="19.5" spans="1:24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59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</row>
    <row r="22" ht="20.25" spans="1:24">
      <c r="A22" s="3" t="s">
        <v>28</v>
      </c>
      <c r="B22" s="33"/>
      <c r="C22" s="33"/>
      <c r="D22" s="33"/>
      <c r="E22" s="33"/>
      <c r="F22" s="33"/>
      <c r="G22" s="33"/>
      <c r="H22" s="33"/>
      <c r="I22" s="33"/>
      <c r="J22" s="33"/>
      <c r="K22" s="59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</row>
    <row r="23" ht="19.5" spans="1:24">
      <c r="A23" s="4" t="s">
        <v>2</v>
      </c>
      <c r="B23" s="5" t="s">
        <v>3</v>
      </c>
      <c r="C23" s="6" t="s">
        <v>4</v>
      </c>
      <c r="D23" s="6" t="s">
        <v>5</v>
      </c>
      <c r="E23" s="7" t="s">
        <v>6</v>
      </c>
      <c r="F23" s="6" t="s">
        <v>7</v>
      </c>
      <c r="G23" s="8" t="s">
        <v>8</v>
      </c>
      <c r="H23" s="6" t="s">
        <v>9</v>
      </c>
      <c r="I23" s="51" t="s">
        <v>10</v>
      </c>
      <c r="J23" s="71" t="s">
        <v>11</v>
      </c>
      <c r="K23" s="53" t="s">
        <v>12</v>
      </c>
      <c r="M23" s="70"/>
      <c r="N23" s="70"/>
      <c r="O23" s="72"/>
      <c r="P23" s="72"/>
      <c r="Q23" s="72"/>
      <c r="R23" s="72"/>
      <c r="S23" s="72"/>
      <c r="T23" s="72"/>
      <c r="U23" s="72"/>
      <c r="V23" s="72"/>
      <c r="W23" s="70"/>
      <c r="X23" s="70"/>
    </row>
    <row r="24" ht="19.5" spans="1:24">
      <c r="A24" s="34" t="s">
        <v>13</v>
      </c>
      <c r="B24" s="10">
        <v>10</v>
      </c>
      <c r="C24" s="11">
        <v>0</v>
      </c>
      <c r="D24" s="11">
        <v>45</v>
      </c>
      <c r="E24" s="11">
        <v>2</v>
      </c>
      <c r="F24" s="35">
        <v>3</v>
      </c>
      <c r="G24" s="36">
        <v>9</v>
      </c>
      <c r="H24" s="11">
        <v>0</v>
      </c>
      <c r="I24" s="54">
        <v>7</v>
      </c>
      <c r="J24" s="73">
        <f>((B24/10)+(1-H24/4)+(1-((D24-$D$37)/($D$38-$D$37)))+(1-I24/$I$38)+(1-C24/$C$38))/5</f>
        <v>0.736904761904762</v>
      </c>
      <c r="K24" s="56">
        <v>0.45</v>
      </c>
      <c r="M24" s="70"/>
      <c r="N24" s="70"/>
      <c r="O24" s="72"/>
      <c r="P24" s="72"/>
      <c r="Q24" s="72"/>
      <c r="R24" s="72"/>
      <c r="S24" s="72"/>
      <c r="T24" s="72"/>
      <c r="U24" s="72"/>
      <c r="V24" s="72"/>
      <c r="W24" s="70"/>
      <c r="X24" s="70"/>
    </row>
    <row r="25" ht="18.75" spans="1:24">
      <c r="A25" s="26" t="s">
        <v>14</v>
      </c>
      <c r="B25" s="14">
        <v>9</v>
      </c>
      <c r="C25" s="15">
        <v>0</v>
      </c>
      <c r="D25" s="15">
        <v>12</v>
      </c>
      <c r="E25" s="15">
        <v>1</v>
      </c>
      <c r="F25" s="28">
        <v>2</v>
      </c>
      <c r="G25" s="37">
        <v>10</v>
      </c>
      <c r="H25" s="15">
        <v>0</v>
      </c>
      <c r="I25" s="57">
        <v>4</v>
      </c>
      <c r="J25" s="74">
        <f t="shared" ref="J25:J38" si="3">((B25/10)+(1-H25/4)+(1-((D25-$D$37)/($D$38-$D$37)))+(1-I25/$I$38)+(1-C25/$C$38))/5</f>
        <v>0.884761904761905</v>
      </c>
      <c r="K25" s="59"/>
      <c r="M25" s="70"/>
      <c r="N25" s="70"/>
      <c r="O25" s="72"/>
      <c r="P25" s="72"/>
      <c r="Q25" s="72"/>
      <c r="R25" s="72"/>
      <c r="S25" s="72"/>
      <c r="T25" s="72"/>
      <c r="U25" s="72"/>
      <c r="V25" s="72"/>
      <c r="W25" s="70"/>
      <c r="X25" s="70"/>
    </row>
    <row r="26" ht="18.75" spans="1:24">
      <c r="A26" s="38" t="s">
        <v>15</v>
      </c>
      <c r="B26" s="17">
        <v>8</v>
      </c>
      <c r="C26" s="18">
        <v>1</v>
      </c>
      <c r="D26" s="18">
        <v>25</v>
      </c>
      <c r="E26" s="18">
        <v>3</v>
      </c>
      <c r="F26" s="39">
        <v>3</v>
      </c>
      <c r="G26" s="40">
        <v>8</v>
      </c>
      <c r="H26" s="18">
        <v>1</v>
      </c>
      <c r="I26" s="60">
        <v>5</v>
      </c>
      <c r="J26" s="75">
        <f t="shared" si="3"/>
        <v>0.651666666666667</v>
      </c>
      <c r="K26" s="59"/>
      <c r="M26" s="70"/>
      <c r="N26" s="70"/>
      <c r="O26" s="72"/>
      <c r="P26" s="72"/>
      <c r="Q26" s="72"/>
      <c r="R26" s="72"/>
      <c r="S26" s="72"/>
      <c r="T26" s="72"/>
      <c r="U26" s="72"/>
      <c r="V26" s="72"/>
      <c r="W26" s="70"/>
      <c r="X26" s="70"/>
    </row>
    <row r="27" ht="18.75" spans="1:24">
      <c r="A27" s="26" t="s">
        <v>16</v>
      </c>
      <c r="B27" s="14">
        <v>7</v>
      </c>
      <c r="C27" s="15">
        <v>1</v>
      </c>
      <c r="D27" s="15">
        <v>55</v>
      </c>
      <c r="E27" s="15">
        <v>5</v>
      </c>
      <c r="F27" s="28">
        <v>4</v>
      </c>
      <c r="G27" s="37">
        <v>7</v>
      </c>
      <c r="H27" s="15">
        <v>2</v>
      </c>
      <c r="I27" s="57">
        <v>10</v>
      </c>
      <c r="J27" s="74">
        <f t="shared" si="3"/>
        <v>0.391190476190476</v>
      </c>
      <c r="K27" s="59"/>
      <c r="M27" s="70"/>
      <c r="N27" s="70"/>
      <c r="O27" s="72"/>
      <c r="P27" s="72"/>
      <c r="Q27" s="72"/>
      <c r="R27" s="72"/>
      <c r="S27" s="72"/>
      <c r="T27" s="72"/>
      <c r="U27" s="72"/>
      <c r="V27" s="72"/>
      <c r="W27" s="70"/>
      <c r="X27" s="70"/>
    </row>
    <row r="28" ht="18.75" spans="1:24">
      <c r="A28" s="38" t="s">
        <v>17</v>
      </c>
      <c r="B28" s="17">
        <v>6</v>
      </c>
      <c r="C28" s="18">
        <v>2</v>
      </c>
      <c r="D28" s="18">
        <v>60</v>
      </c>
      <c r="E28" s="18">
        <v>6</v>
      </c>
      <c r="F28" s="39">
        <v>5</v>
      </c>
      <c r="G28" s="40">
        <v>6</v>
      </c>
      <c r="H28" s="18">
        <v>3</v>
      </c>
      <c r="I28" s="60">
        <v>12</v>
      </c>
      <c r="J28" s="75">
        <f t="shared" si="3"/>
        <v>0.17</v>
      </c>
      <c r="K28" s="59"/>
      <c r="M28" s="70"/>
      <c r="N28" s="70"/>
      <c r="O28" s="72"/>
      <c r="P28" s="72"/>
      <c r="Q28" s="72"/>
      <c r="R28" s="72"/>
      <c r="S28" s="72"/>
      <c r="T28" s="72"/>
      <c r="U28" s="72"/>
      <c r="V28" s="72"/>
      <c r="W28" s="70"/>
      <c r="X28" s="70"/>
    </row>
    <row r="29" ht="18.75" spans="1:24">
      <c r="A29" s="26" t="s">
        <v>18</v>
      </c>
      <c r="B29" s="14">
        <v>10</v>
      </c>
      <c r="C29" s="15">
        <v>0</v>
      </c>
      <c r="D29" s="15">
        <v>6</v>
      </c>
      <c r="E29" s="15">
        <v>1</v>
      </c>
      <c r="F29" s="28">
        <v>1</v>
      </c>
      <c r="G29" s="37">
        <v>10</v>
      </c>
      <c r="H29" s="15">
        <v>0</v>
      </c>
      <c r="I29" s="57">
        <v>2</v>
      </c>
      <c r="J29" s="74">
        <f t="shared" si="3"/>
        <v>0.959523809523809</v>
      </c>
      <c r="K29" s="59"/>
      <c r="M29" s="70"/>
      <c r="N29" s="70"/>
      <c r="O29" s="72"/>
      <c r="P29" s="72"/>
      <c r="Q29" s="72"/>
      <c r="R29" s="72"/>
      <c r="S29" s="72"/>
      <c r="T29" s="72"/>
      <c r="U29" s="72"/>
      <c r="V29" s="72"/>
      <c r="W29" s="70"/>
      <c r="X29" s="70"/>
    </row>
    <row r="30" ht="18.75" spans="1:24">
      <c r="A30" s="38" t="s">
        <v>19</v>
      </c>
      <c r="B30" s="17">
        <v>10</v>
      </c>
      <c r="C30" s="18">
        <v>0</v>
      </c>
      <c r="D30" s="18">
        <v>11</v>
      </c>
      <c r="E30" s="18">
        <v>1</v>
      </c>
      <c r="F30" s="39">
        <v>2</v>
      </c>
      <c r="G30" s="40">
        <v>10</v>
      </c>
      <c r="H30" s="18">
        <v>0</v>
      </c>
      <c r="I30" s="60">
        <v>3</v>
      </c>
      <c r="J30" s="75">
        <f t="shared" si="3"/>
        <v>0.925</v>
      </c>
      <c r="K30" s="59"/>
      <c r="M30" s="70"/>
      <c r="N30" s="70"/>
      <c r="O30" s="72"/>
      <c r="P30" s="72"/>
      <c r="Q30" s="72"/>
      <c r="R30" s="72"/>
      <c r="S30" s="72"/>
      <c r="T30" s="72"/>
      <c r="U30" s="72"/>
      <c r="V30" s="72"/>
      <c r="W30" s="70"/>
      <c r="X30" s="70"/>
    </row>
    <row r="31" ht="18.75" spans="1:24">
      <c r="A31" s="26" t="s">
        <v>20</v>
      </c>
      <c r="B31" s="14">
        <v>7</v>
      </c>
      <c r="C31" s="15">
        <v>1</v>
      </c>
      <c r="D31" s="15">
        <v>20</v>
      </c>
      <c r="E31" s="15">
        <v>2</v>
      </c>
      <c r="F31" s="28">
        <v>4</v>
      </c>
      <c r="G31" s="37">
        <v>8</v>
      </c>
      <c r="H31" s="15">
        <v>1</v>
      </c>
      <c r="I31" s="57">
        <v>6</v>
      </c>
      <c r="J31" s="74">
        <f t="shared" si="3"/>
        <v>0.632857142857143</v>
      </c>
      <c r="K31" s="59"/>
      <c r="M31" s="70"/>
      <c r="N31" s="70"/>
      <c r="O31" s="72"/>
      <c r="P31" s="72"/>
      <c r="Q31" s="72"/>
      <c r="R31" s="72"/>
      <c r="S31" s="72"/>
      <c r="T31" s="72"/>
      <c r="U31" s="72"/>
      <c r="V31" s="72"/>
      <c r="W31" s="70"/>
      <c r="X31" s="70"/>
    </row>
    <row r="32" ht="18.75" spans="1:24">
      <c r="A32" s="38" t="s">
        <v>21</v>
      </c>
      <c r="B32" s="17">
        <v>9</v>
      </c>
      <c r="C32" s="18">
        <v>0</v>
      </c>
      <c r="D32" s="18">
        <v>15</v>
      </c>
      <c r="E32" s="18">
        <v>2</v>
      </c>
      <c r="F32" s="39">
        <v>3</v>
      </c>
      <c r="G32" s="40">
        <v>9</v>
      </c>
      <c r="H32" s="18">
        <v>0</v>
      </c>
      <c r="I32" s="60">
        <v>4</v>
      </c>
      <c r="J32" s="75">
        <f t="shared" si="3"/>
        <v>0.874047619047619</v>
      </c>
      <c r="K32" s="59"/>
      <c r="M32" s="70"/>
      <c r="N32" s="70"/>
      <c r="O32" s="72"/>
      <c r="P32" s="72"/>
      <c r="Q32" s="72"/>
      <c r="R32" s="72"/>
      <c r="S32" s="72"/>
      <c r="T32" s="72"/>
      <c r="U32" s="72"/>
      <c r="V32" s="72"/>
      <c r="W32" s="70"/>
      <c r="X32" s="70"/>
    </row>
    <row r="33" ht="18.75" spans="1:24">
      <c r="A33" s="26" t="s">
        <v>22</v>
      </c>
      <c r="B33" s="14">
        <v>8</v>
      </c>
      <c r="C33" s="15">
        <v>0</v>
      </c>
      <c r="D33" s="15">
        <v>35</v>
      </c>
      <c r="E33" s="15">
        <v>3</v>
      </c>
      <c r="F33" s="41">
        <v>4</v>
      </c>
      <c r="G33" s="37">
        <v>8</v>
      </c>
      <c r="H33" s="15">
        <v>1</v>
      </c>
      <c r="I33" s="57">
        <v>7</v>
      </c>
      <c r="J33" s="74">
        <f t="shared" si="3"/>
        <v>0.682619047619048</v>
      </c>
      <c r="K33" s="59"/>
      <c r="M33" s="70"/>
      <c r="N33" s="70"/>
      <c r="O33" s="72"/>
      <c r="P33" s="72"/>
      <c r="Q33" s="72"/>
      <c r="R33" s="72"/>
      <c r="S33" s="72"/>
      <c r="T33" s="72"/>
      <c r="U33" s="72"/>
      <c r="V33" s="72"/>
      <c r="W33" s="70"/>
      <c r="X33" s="70"/>
    </row>
    <row r="34" ht="18.75" spans="1:24">
      <c r="A34" s="38" t="s">
        <v>23</v>
      </c>
      <c r="B34" s="17">
        <v>6</v>
      </c>
      <c r="C34" s="18">
        <v>1</v>
      </c>
      <c r="D34" s="18">
        <v>40</v>
      </c>
      <c r="E34" s="18">
        <v>4</v>
      </c>
      <c r="F34" s="39">
        <v>5</v>
      </c>
      <c r="G34" s="40">
        <v>7</v>
      </c>
      <c r="H34" s="18">
        <v>2</v>
      </c>
      <c r="I34" s="60">
        <v>8</v>
      </c>
      <c r="J34" s="75">
        <f t="shared" si="3"/>
        <v>0.458095238095238</v>
      </c>
      <c r="K34" s="59"/>
      <c r="M34" s="70"/>
      <c r="N34" s="70"/>
      <c r="O34" s="72"/>
      <c r="P34" s="72"/>
      <c r="Q34" s="72"/>
      <c r="R34" s="72"/>
      <c r="S34" s="72"/>
      <c r="T34" s="72"/>
      <c r="U34" s="72"/>
      <c r="V34" s="72"/>
      <c r="W34" s="70"/>
      <c r="X34" s="70"/>
    </row>
    <row r="35" ht="19.5" spans="1:24">
      <c r="A35" s="42" t="s">
        <v>24</v>
      </c>
      <c r="B35" s="21">
        <v>10</v>
      </c>
      <c r="C35" s="22">
        <v>0</v>
      </c>
      <c r="D35" s="22">
        <v>4</v>
      </c>
      <c r="E35" s="22">
        <v>1</v>
      </c>
      <c r="F35" s="43">
        <v>1</v>
      </c>
      <c r="G35" s="44">
        <v>10</v>
      </c>
      <c r="H35" s="22">
        <v>0</v>
      </c>
      <c r="I35" s="62">
        <v>2</v>
      </c>
      <c r="J35" s="76">
        <f t="shared" si="3"/>
        <v>0.966666666666667</v>
      </c>
      <c r="K35" s="59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</row>
    <row r="36" ht="18.75" spans="1:24">
      <c r="A36" s="23" t="s">
        <v>25</v>
      </c>
      <c r="B36" s="24">
        <f t="shared" ref="B36:J36" si="4">AVERAGE(B24:B35)</f>
        <v>8.33333333333333</v>
      </c>
      <c r="C36" s="25">
        <f t="shared" si="4"/>
        <v>0.5</v>
      </c>
      <c r="D36" s="25">
        <f t="shared" si="4"/>
        <v>27.3333333333333</v>
      </c>
      <c r="E36" s="25">
        <f t="shared" si="4"/>
        <v>2.58333333333333</v>
      </c>
      <c r="F36" s="25">
        <f t="shared" si="4"/>
        <v>3.08333333333333</v>
      </c>
      <c r="G36" s="25">
        <f t="shared" si="4"/>
        <v>8.5</v>
      </c>
      <c r="H36" s="25">
        <f t="shared" si="4"/>
        <v>0.833333333333333</v>
      </c>
      <c r="I36" s="64">
        <f t="shared" si="4"/>
        <v>5.83333333333333</v>
      </c>
      <c r="J36" s="73">
        <f t="shared" si="3"/>
        <v>0.694444444444444</v>
      </c>
      <c r="K36" s="59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</row>
    <row r="37" ht="18.75" spans="1:24">
      <c r="A37" s="26" t="s">
        <v>26</v>
      </c>
      <c r="B37" s="27">
        <f t="shared" ref="B37:J37" si="5">MIN(B24:B35)</f>
        <v>6</v>
      </c>
      <c r="C37" s="28">
        <f t="shared" si="5"/>
        <v>0</v>
      </c>
      <c r="D37" s="28">
        <f t="shared" si="5"/>
        <v>4</v>
      </c>
      <c r="E37" s="28">
        <f t="shared" si="5"/>
        <v>1</v>
      </c>
      <c r="F37" s="28">
        <f t="shared" si="5"/>
        <v>1</v>
      </c>
      <c r="G37" s="28">
        <f t="shared" si="5"/>
        <v>6</v>
      </c>
      <c r="H37" s="28">
        <f t="shared" si="5"/>
        <v>0</v>
      </c>
      <c r="I37" s="66">
        <f t="shared" si="5"/>
        <v>2</v>
      </c>
      <c r="J37" s="74">
        <f t="shared" si="3"/>
        <v>0.886666666666667</v>
      </c>
      <c r="K37" s="59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</row>
    <row r="38" ht="19.5" spans="1:11">
      <c r="A38" s="29" t="s">
        <v>27</v>
      </c>
      <c r="B38" s="30">
        <f t="shared" ref="B38:J38" si="6">MAX(B25:B36)</f>
        <v>10</v>
      </c>
      <c r="C38" s="31">
        <f t="shared" si="6"/>
        <v>2</v>
      </c>
      <c r="D38" s="31">
        <f t="shared" si="6"/>
        <v>60</v>
      </c>
      <c r="E38" s="31">
        <f t="shared" si="6"/>
        <v>6</v>
      </c>
      <c r="F38" s="31">
        <f t="shared" si="6"/>
        <v>5</v>
      </c>
      <c r="G38" s="31">
        <f t="shared" si="6"/>
        <v>10</v>
      </c>
      <c r="H38" s="31">
        <f t="shared" si="6"/>
        <v>3</v>
      </c>
      <c r="I38" s="68">
        <f t="shared" si="6"/>
        <v>12</v>
      </c>
      <c r="J38" s="77">
        <f t="shared" si="3"/>
        <v>0.25</v>
      </c>
      <c r="K38" s="59"/>
    </row>
    <row r="39" ht="18.75" spans="11:11">
      <c r="K39" s="59"/>
    </row>
    <row r="40" ht="18.75" spans="11:11">
      <c r="K40" s="59"/>
    </row>
    <row r="41" ht="18.75" spans="11:11">
      <c r="K41" s="59"/>
    </row>
    <row r="42" ht="19.5" spans="11:11">
      <c r="K42" s="59"/>
    </row>
    <row r="43" ht="19.5" spans="1:11">
      <c r="A43" s="45" t="s">
        <v>29</v>
      </c>
      <c r="B43" s="46" t="s">
        <v>3</v>
      </c>
      <c r="C43" s="47" t="s">
        <v>4</v>
      </c>
      <c r="D43" s="47" t="s">
        <v>5</v>
      </c>
      <c r="E43" s="48" t="s">
        <v>6</v>
      </c>
      <c r="F43" s="47" t="s">
        <v>7</v>
      </c>
      <c r="G43" s="49" t="s">
        <v>8</v>
      </c>
      <c r="H43" s="47" t="s">
        <v>9</v>
      </c>
      <c r="I43" s="78" t="s">
        <v>10</v>
      </c>
      <c r="J43" s="79" t="s">
        <v>11</v>
      </c>
      <c r="K43" s="53" t="s">
        <v>12</v>
      </c>
    </row>
    <row r="44" ht="19.5" spans="1:11">
      <c r="A44" s="34" t="s">
        <v>13</v>
      </c>
      <c r="B44" s="10">
        <f>AVERAGE(B4,B24)</f>
        <v>10</v>
      </c>
      <c r="C44" s="11">
        <f t="shared" ref="C44:J44" si="7">AVERAGE(C4,C24)</f>
        <v>0</v>
      </c>
      <c r="D44" s="11">
        <f t="shared" si="7"/>
        <v>48</v>
      </c>
      <c r="E44" s="11">
        <f t="shared" si="7"/>
        <v>1.5</v>
      </c>
      <c r="F44" s="35">
        <f t="shared" si="7"/>
        <v>3</v>
      </c>
      <c r="G44" s="36">
        <f t="shared" si="7"/>
        <v>9.5</v>
      </c>
      <c r="H44" s="11">
        <f t="shared" si="7"/>
        <v>0</v>
      </c>
      <c r="I44" s="54">
        <f t="shared" si="7"/>
        <v>7.5</v>
      </c>
      <c r="J44" s="80">
        <f t="shared" si="7"/>
        <v>0.719027093596059</v>
      </c>
      <c r="K44" s="81">
        <f>AVERAGE(K24,K4)</f>
        <v>0.675</v>
      </c>
    </row>
    <row r="45" ht="18.75" spans="1:11">
      <c r="A45" s="26" t="s">
        <v>14</v>
      </c>
      <c r="B45" s="14">
        <f t="shared" ref="B45:B59" si="8">AVERAGE(B5,B25)</f>
        <v>9.5</v>
      </c>
      <c r="C45" s="15">
        <f t="shared" ref="C45:J45" si="9">AVERAGE(C5,C25)</f>
        <v>0</v>
      </c>
      <c r="D45" s="15">
        <f t="shared" si="9"/>
        <v>13</v>
      </c>
      <c r="E45" s="15">
        <f t="shared" si="9"/>
        <v>1</v>
      </c>
      <c r="F45" s="28">
        <f t="shared" si="9"/>
        <v>2.5</v>
      </c>
      <c r="G45" s="37">
        <f t="shared" si="9"/>
        <v>10</v>
      </c>
      <c r="H45" s="15">
        <f t="shared" si="9"/>
        <v>0</v>
      </c>
      <c r="I45" s="57">
        <f t="shared" si="9"/>
        <v>4</v>
      </c>
      <c r="J45" s="74">
        <f t="shared" si="9"/>
        <v>0.89008210180624</v>
      </c>
      <c r="K45" s="59"/>
    </row>
    <row r="46" ht="18.75" spans="1:10">
      <c r="A46" s="38" t="s">
        <v>15</v>
      </c>
      <c r="B46" s="17">
        <f t="shared" si="8"/>
        <v>4</v>
      </c>
      <c r="C46" s="18">
        <f t="shared" ref="C46:J46" si="10">AVERAGE(C6,C26)</f>
        <v>1</v>
      </c>
      <c r="D46" s="18">
        <f t="shared" si="10"/>
        <v>20</v>
      </c>
      <c r="E46" s="18">
        <f t="shared" si="10"/>
        <v>2</v>
      </c>
      <c r="F46" s="39">
        <f t="shared" si="10"/>
        <v>2</v>
      </c>
      <c r="G46" s="40">
        <f t="shared" si="10"/>
        <v>9</v>
      </c>
      <c r="H46" s="18">
        <f t="shared" si="10"/>
        <v>1</v>
      </c>
      <c r="I46" s="60">
        <f t="shared" si="10"/>
        <v>4.5</v>
      </c>
      <c r="J46" s="75">
        <f t="shared" si="10"/>
        <v>0.546810344827586</v>
      </c>
    </row>
    <row r="47" ht="18.75" spans="1:10">
      <c r="A47" s="26" t="s">
        <v>16</v>
      </c>
      <c r="B47" s="14">
        <f t="shared" si="8"/>
        <v>8.5</v>
      </c>
      <c r="C47" s="15">
        <f t="shared" ref="C47:J47" si="11">AVERAGE(C7,C27)</f>
        <v>0.5</v>
      </c>
      <c r="D47" s="15">
        <f t="shared" si="11"/>
        <v>34.5</v>
      </c>
      <c r="E47" s="15">
        <f t="shared" si="11"/>
        <v>3</v>
      </c>
      <c r="F47" s="28">
        <f t="shared" si="11"/>
        <v>5.5</v>
      </c>
      <c r="G47" s="37">
        <f t="shared" si="11"/>
        <v>8.5</v>
      </c>
      <c r="H47" s="15">
        <f t="shared" si="11"/>
        <v>1</v>
      </c>
      <c r="I47" s="57">
        <f t="shared" si="11"/>
        <v>7</v>
      </c>
      <c r="J47" s="74">
        <f t="shared" si="11"/>
        <v>0.643296387520525</v>
      </c>
    </row>
    <row r="48" ht="18.75" spans="1:10">
      <c r="A48" s="38" t="s">
        <v>17</v>
      </c>
      <c r="B48" s="17">
        <f t="shared" si="8"/>
        <v>6.5</v>
      </c>
      <c r="C48" s="18">
        <f t="shared" ref="C48:J48" si="12">AVERAGE(C8,C28)</f>
        <v>1.5</v>
      </c>
      <c r="D48" s="18">
        <f t="shared" si="12"/>
        <v>60.5</v>
      </c>
      <c r="E48" s="18">
        <f t="shared" si="12"/>
        <v>6</v>
      </c>
      <c r="F48" s="39">
        <f t="shared" si="12"/>
        <v>3.5</v>
      </c>
      <c r="G48" s="40">
        <f t="shared" si="12"/>
        <v>5.5</v>
      </c>
      <c r="H48" s="18">
        <f t="shared" si="12"/>
        <v>3.5</v>
      </c>
      <c r="I48" s="60">
        <f t="shared" si="12"/>
        <v>12</v>
      </c>
      <c r="J48" s="75">
        <f t="shared" si="12"/>
        <v>0.155</v>
      </c>
    </row>
    <row r="49" ht="18.75" spans="1:10">
      <c r="A49" s="26" t="s">
        <v>18</v>
      </c>
      <c r="B49" s="14">
        <f t="shared" si="8"/>
        <v>10</v>
      </c>
      <c r="C49" s="15">
        <f t="shared" ref="C49:J49" si="13">AVERAGE(C9,C29)</f>
        <v>0</v>
      </c>
      <c r="D49" s="15">
        <f t="shared" si="13"/>
        <v>5.5</v>
      </c>
      <c r="E49" s="15">
        <f t="shared" si="13"/>
        <v>1</v>
      </c>
      <c r="F49" s="28">
        <f t="shared" si="13"/>
        <v>1</v>
      </c>
      <c r="G49" s="37">
        <f t="shared" si="13"/>
        <v>10</v>
      </c>
      <c r="H49" s="15">
        <f t="shared" si="13"/>
        <v>0</v>
      </c>
      <c r="I49" s="57">
        <f t="shared" si="13"/>
        <v>2</v>
      </c>
      <c r="J49" s="74">
        <f t="shared" si="13"/>
        <v>0.959646962233169</v>
      </c>
    </row>
    <row r="50" ht="18.75" spans="1:10">
      <c r="A50" s="38" t="s">
        <v>19</v>
      </c>
      <c r="B50" s="17">
        <f t="shared" si="8"/>
        <v>10</v>
      </c>
      <c r="C50" s="18">
        <f t="shared" ref="C50:J50" si="14">AVERAGE(C10,C30)</f>
        <v>0</v>
      </c>
      <c r="D50" s="18">
        <f t="shared" si="14"/>
        <v>10.5</v>
      </c>
      <c r="E50" s="18">
        <f t="shared" si="14"/>
        <v>1</v>
      </c>
      <c r="F50" s="39">
        <f t="shared" si="14"/>
        <v>1.5</v>
      </c>
      <c r="G50" s="40">
        <f t="shared" si="14"/>
        <v>10</v>
      </c>
      <c r="H50" s="18">
        <f t="shared" si="14"/>
        <v>0</v>
      </c>
      <c r="I50" s="60">
        <f t="shared" si="14"/>
        <v>2.5</v>
      </c>
      <c r="J50" s="75">
        <f t="shared" si="14"/>
        <v>0.933764367816092</v>
      </c>
    </row>
    <row r="51" ht="18.75" spans="1:10">
      <c r="A51" s="26" t="s">
        <v>20</v>
      </c>
      <c r="B51" s="14">
        <f t="shared" si="8"/>
        <v>6.5</v>
      </c>
      <c r="C51" s="15">
        <f t="shared" ref="C51:J51" si="15">AVERAGE(C11,C31)</f>
        <v>1</v>
      </c>
      <c r="D51" s="15">
        <f t="shared" si="15"/>
        <v>17.5</v>
      </c>
      <c r="E51" s="15">
        <f t="shared" si="15"/>
        <v>1.5</v>
      </c>
      <c r="F51" s="28">
        <f t="shared" si="15"/>
        <v>4.5</v>
      </c>
      <c r="G51" s="37">
        <f t="shared" si="15"/>
        <v>8</v>
      </c>
      <c r="H51" s="15">
        <f t="shared" si="15"/>
        <v>0.5</v>
      </c>
      <c r="I51" s="57">
        <f t="shared" si="15"/>
        <v>6</v>
      </c>
      <c r="J51" s="74">
        <f t="shared" si="15"/>
        <v>0.605738916256158</v>
      </c>
    </row>
    <row r="52" ht="18.75" spans="1:10">
      <c r="A52" s="38" t="s">
        <v>21</v>
      </c>
      <c r="B52" s="17">
        <f t="shared" si="8"/>
        <v>9.5</v>
      </c>
      <c r="C52" s="18">
        <f t="shared" ref="C52:J52" si="16">AVERAGE(C12,C32)</f>
        <v>0</v>
      </c>
      <c r="D52" s="18">
        <f t="shared" si="16"/>
        <v>12.5</v>
      </c>
      <c r="E52" s="18">
        <f t="shared" si="16"/>
        <v>1.5</v>
      </c>
      <c r="F52" s="39">
        <f t="shared" si="16"/>
        <v>3.5</v>
      </c>
      <c r="G52" s="40">
        <f t="shared" si="16"/>
        <v>9.5</v>
      </c>
      <c r="H52" s="18">
        <f t="shared" si="16"/>
        <v>0</v>
      </c>
      <c r="I52" s="60">
        <f t="shared" si="16"/>
        <v>3.5</v>
      </c>
      <c r="J52" s="75">
        <f t="shared" si="16"/>
        <v>0.899954844006568</v>
      </c>
    </row>
    <row r="53" ht="18.75" spans="1:10">
      <c r="A53" s="26" t="s">
        <v>22</v>
      </c>
      <c r="B53" s="14">
        <f t="shared" si="8"/>
        <v>9</v>
      </c>
      <c r="C53" s="15">
        <f t="shared" ref="C53:J53" si="17">AVERAGE(C13,C33)</f>
        <v>0</v>
      </c>
      <c r="D53" s="15">
        <f t="shared" si="17"/>
        <v>37.5</v>
      </c>
      <c r="E53" s="15">
        <f t="shared" si="17"/>
        <v>2</v>
      </c>
      <c r="F53" s="41">
        <f t="shared" si="17"/>
        <v>5</v>
      </c>
      <c r="G53" s="37">
        <f t="shared" si="17"/>
        <v>9</v>
      </c>
      <c r="H53" s="15">
        <f t="shared" si="17"/>
        <v>0.5</v>
      </c>
      <c r="I53" s="57">
        <f t="shared" si="17"/>
        <v>7.5</v>
      </c>
      <c r="J53" s="74">
        <f t="shared" si="17"/>
        <v>0.710849753694581</v>
      </c>
    </row>
    <row r="54" ht="18.75" spans="1:10">
      <c r="A54" s="38" t="s">
        <v>23</v>
      </c>
      <c r="B54" s="17">
        <f t="shared" si="8"/>
        <v>6</v>
      </c>
      <c r="C54" s="18">
        <f t="shared" ref="C54:J54" si="18">AVERAGE(C14,C34)</f>
        <v>0.5</v>
      </c>
      <c r="D54" s="18">
        <f t="shared" si="18"/>
        <v>25</v>
      </c>
      <c r="E54" s="18">
        <f t="shared" si="18"/>
        <v>2.5</v>
      </c>
      <c r="F54" s="39">
        <f t="shared" si="18"/>
        <v>7.5</v>
      </c>
      <c r="G54" s="40">
        <f t="shared" si="18"/>
        <v>8.5</v>
      </c>
      <c r="H54" s="18">
        <f t="shared" si="18"/>
        <v>2</v>
      </c>
      <c r="I54" s="60">
        <f t="shared" si="18"/>
        <v>6.5</v>
      </c>
      <c r="J54" s="75">
        <f t="shared" si="18"/>
        <v>0.585311986863711</v>
      </c>
    </row>
    <row r="55" ht="19.5" spans="1:10">
      <c r="A55" s="20" t="s">
        <v>24</v>
      </c>
      <c r="B55" s="21">
        <f t="shared" si="8"/>
        <v>10</v>
      </c>
      <c r="C55" s="22">
        <f t="shared" ref="C55:J55" si="19">AVERAGE(C15,C35)</f>
        <v>0</v>
      </c>
      <c r="D55" s="22">
        <f t="shared" si="19"/>
        <v>3.5</v>
      </c>
      <c r="E55" s="22">
        <f t="shared" si="19"/>
        <v>1</v>
      </c>
      <c r="F55" s="43">
        <f t="shared" si="19"/>
        <v>1</v>
      </c>
      <c r="G55" s="44">
        <f t="shared" si="19"/>
        <v>10</v>
      </c>
      <c r="H55" s="22">
        <f t="shared" si="19"/>
        <v>0</v>
      </c>
      <c r="I55" s="62">
        <f t="shared" si="19"/>
        <v>2</v>
      </c>
      <c r="J55" s="76">
        <f t="shared" si="19"/>
        <v>0.966666666666667</v>
      </c>
    </row>
    <row r="56" ht="18.75" spans="1:10">
      <c r="A56" s="23" t="s">
        <v>25</v>
      </c>
      <c r="B56" s="24">
        <f t="shared" si="8"/>
        <v>8.29166666666667</v>
      </c>
      <c r="C56" s="25">
        <f t="shared" ref="C56:J56" si="20">AVERAGE(C16,C36)</f>
        <v>0.375</v>
      </c>
      <c r="D56" s="25">
        <f t="shared" si="20"/>
        <v>24</v>
      </c>
      <c r="E56" s="25">
        <f t="shared" si="20"/>
        <v>2</v>
      </c>
      <c r="F56" s="25">
        <f t="shared" si="20"/>
        <v>3.375</v>
      </c>
      <c r="G56" s="25">
        <f t="shared" si="20"/>
        <v>8.95833333333333</v>
      </c>
      <c r="H56" s="25">
        <f t="shared" si="20"/>
        <v>0.708333333333333</v>
      </c>
      <c r="I56" s="64">
        <f t="shared" si="20"/>
        <v>5.41666666666667</v>
      </c>
      <c r="J56" s="73">
        <f t="shared" si="20"/>
        <v>0.71801245210728</v>
      </c>
    </row>
    <row r="57" ht="18.75" spans="1:10">
      <c r="A57" s="26" t="s">
        <v>26</v>
      </c>
      <c r="B57" s="27">
        <f t="shared" si="8"/>
        <v>3</v>
      </c>
      <c r="C57" s="28">
        <f t="shared" ref="C57:J57" si="21">AVERAGE(C17,C37)</f>
        <v>0</v>
      </c>
      <c r="D57" s="28">
        <f t="shared" si="21"/>
        <v>3.5</v>
      </c>
      <c r="E57" s="28">
        <f t="shared" si="21"/>
        <v>1</v>
      </c>
      <c r="F57" s="28">
        <f t="shared" si="21"/>
        <v>1</v>
      </c>
      <c r="G57" s="28">
        <f t="shared" si="21"/>
        <v>5.5</v>
      </c>
      <c r="H57" s="28">
        <f t="shared" si="21"/>
        <v>0</v>
      </c>
      <c r="I57" s="66">
        <f t="shared" si="21"/>
        <v>2</v>
      </c>
      <c r="J57" s="74">
        <f t="shared" si="21"/>
        <v>0.513333333333333</v>
      </c>
    </row>
    <row r="58" ht="19.5" spans="1:10">
      <c r="A58" s="29" t="s">
        <v>27</v>
      </c>
      <c r="B58" s="30">
        <f t="shared" si="8"/>
        <v>10</v>
      </c>
      <c r="C58" s="31">
        <f t="shared" ref="C58:J58" si="22">AVERAGE(C18,C38)</f>
        <v>1.5</v>
      </c>
      <c r="D58" s="31">
        <f t="shared" si="22"/>
        <v>60.5</v>
      </c>
      <c r="E58" s="31">
        <f t="shared" si="22"/>
        <v>6</v>
      </c>
      <c r="F58" s="31">
        <f t="shared" si="22"/>
        <v>7.5</v>
      </c>
      <c r="G58" s="31">
        <f t="shared" si="22"/>
        <v>10</v>
      </c>
      <c r="H58" s="31">
        <f t="shared" si="22"/>
        <v>3.5</v>
      </c>
      <c r="I58" s="68">
        <f t="shared" si="22"/>
        <v>12</v>
      </c>
      <c r="J58" s="77">
        <f t="shared" si="22"/>
        <v>0.608333333333333</v>
      </c>
    </row>
  </sheetData>
  <mergeCells count="1">
    <mergeCell ref="A1:I1"/>
  </mergeCells>
  <conditionalFormatting sqref="B4:B15">
    <cfRule type="aboveAverage" dxfId="0" priority="53" aboveAverage="0"/>
    <cfRule type="aboveAverage" dxfId="1" priority="49" aboveAverage="0"/>
  </conditionalFormatting>
  <conditionalFormatting sqref="B24:B35">
    <cfRule type="aboveAverage" dxfId="0" priority="48" aboveAverage="0"/>
    <cfRule type="aboveAverage" dxfId="1" priority="47" aboveAverage="0"/>
  </conditionalFormatting>
  <conditionalFormatting sqref="B44:B55">
    <cfRule type="aboveAverage" dxfId="0" priority="10" aboveAverage="0"/>
    <cfRule type="aboveAverage" dxfId="1" priority="9" aboveAverage="0"/>
  </conditionalFormatting>
  <conditionalFormatting sqref="C4:C15">
    <cfRule type="aboveAverage" dxfId="2" priority="32"/>
  </conditionalFormatting>
  <conditionalFormatting sqref="C24:C35">
    <cfRule type="aboveAverage" dxfId="2" priority="23"/>
  </conditionalFormatting>
  <conditionalFormatting sqref="C44:C55">
    <cfRule type="aboveAverage" dxfId="2" priority="2"/>
  </conditionalFormatting>
  <conditionalFormatting sqref="D4:D15">
    <cfRule type="aboveAverage" dxfId="2" priority="31"/>
  </conditionalFormatting>
  <conditionalFormatting sqref="D24:D35">
    <cfRule type="aboveAverage" dxfId="2" priority="24"/>
  </conditionalFormatting>
  <conditionalFormatting sqref="D44:D55">
    <cfRule type="aboveAverage" dxfId="2" priority="3"/>
  </conditionalFormatting>
  <conditionalFormatting sqref="E4:E15">
    <cfRule type="aboveAverage" dxfId="2" priority="30"/>
  </conditionalFormatting>
  <conditionalFormatting sqref="E24:E35">
    <cfRule type="aboveAverage" dxfId="2" priority="25"/>
  </conditionalFormatting>
  <conditionalFormatting sqref="E44:E55">
    <cfRule type="aboveAverage" dxfId="2" priority="4"/>
  </conditionalFormatting>
  <conditionalFormatting sqref="G4:G15">
    <cfRule type="aboveAverage" dxfId="0" priority="34" aboveAverage="0"/>
    <cfRule type="aboveAverage" dxfId="1" priority="33" aboveAverage="0"/>
  </conditionalFormatting>
  <conditionalFormatting sqref="G24:G35">
    <cfRule type="aboveAverage" dxfId="0" priority="40" aboveAverage="0"/>
    <cfRule type="aboveAverage" dxfId="1" priority="39" aboveAverage="0"/>
  </conditionalFormatting>
  <conditionalFormatting sqref="G44:G55">
    <cfRule type="aboveAverage" dxfId="0" priority="8" aboveAverage="0"/>
    <cfRule type="aboveAverage" dxfId="1" priority="7" aboveAverage="0"/>
  </conditionalFormatting>
  <conditionalFormatting sqref="H4:H15">
    <cfRule type="aboveAverage" dxfId="2" priority="29"/>
  </conditionalFormatting>
  <conditionalFormatting sqref="H24:H35">
    <cfRule type="aboveAverage" dxfId="2" priority="26"/>
  </conditionalFormatting>
  <conditionalFormatting sqref="H44:H55">
    <cfRule type="aboveAverage" dxfId="2" priority="5"/>
  </conditionalFormatting>
  <conditionalFormatting sqref="I4:I15">
    <cfRule type="aboveAverage" dxfId="2" priority="28"/>
  </conditionalFormatting>
  <conditionalFormatting sqref="I24:I35">
    <cfRule type="aboveAverage" dxfId="2" priority="27"/>
  </conditionalFormatting>
  <conditionalFormatting sqref="I44:I55">
    <cfRule type="aboveAverage" dxfId="2" priority="6"/>
  </conditionalFormatting>
  <conditionalFormatting sqref="J4:J15">
    <cfRule type="aboveAverage" dxfId="3" priority="22"/>
  </conditionalFormatting>
  <conditionalFormatting sqref="J24:J35">
    <cfRule type="aboveAverage" dxfId="3" priority="21"/>
  </conditionalFormatting>
  <conditionalFormatting sqref="J44:J55">
    <cfRule type="aboveAverage" dxfId="3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yomak</dc:creator>
  <cp:lastModifiedBy>yomak</cp:lastModifiedBy>
  <dcterms:created xsi:type="dcterms:W3CDTF">2025-12-14T20:34:33Z</dcterms:created>
  <dcterms:modified xsi:type="dcterms:W3CDTF">2025-12-14T22:15:17Z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D46FD8E7B14C4FD5AE2AFC52062770AC_11</vt:lpwstr>
  </property>
  <property fmtid="{D5CDD505-2E9C-101B-9397-08002B2CF9AE}" pid="3" name="KSOProductBuildVer">
    <vt:lpwstr>1049-12.2.0.23155</vt:lpwstr>
  </property>
</Properties>
</file>